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n.Brown\Downloads\"/>
    </mc:Choice>
  </mc:AlternateContent>
  <xr:revisionPtr revIDLastSave="0" documentId="8_{007206BF-2571-4D78-9E1A-64428FF51DBE}" xr6:coauthVersionLast="47" xr6:coauthVersionMax="47" xr10:uidLastSave="{00000000-0000-0000-0000-000000000000}"/>
  <bookViews>
    <workbookView xWindow="-108" yWindow="-108" windowWidth="23256" windowHeight="13896" xr2:uid="{85568CFB-A66D-472E-B1CD-4E3C09BC37A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34" i="1" l="1"/>
  <c r="AB34" i="1" s="1"/>
  <c r="AA33" i="1"/>
  <c r="AB33" i="1" s="1"/>
  <c r="AA32" i="1"/>
  <c r="AB32" i="1"/>
  <c r="AA31" i="1"/>
  <c r="AB31" i="1" s="1"/>
  <c r="AA30" i="1"/>
  <c r="AB30" i="1"/>
  <c r="AA29" i="1"/>
  <c r="AB29" i="1"/>
  <c r="AA28" i="1"/>
  <c r="AB28" i="1" s="1"/>
  <c r="Z34" i="1"/>
  <c r="Z33" i="1"/>
  <c r="Z32" i="1"/>
  <c r="Z31" i="1"/>
  <c r="Z30" i="1"/>
  <c r="Z29" i="1"/>
  <c r="Z28" i="1"/>
  <c r="AA27" i="1"/>
  <c r="AB27" i="1" s="1"/>
  <c r="Z27" i="1"/>
  <c r="U34" i="1"/>
  <c r="V34" i="1" s="1"/>
  <c r="U33" i="1"/>
  <c r="V33" i="1"/>
  <c r="U32" i="1"/>
  <c r="V32" i="1" s="1"/>
  <c r="U31" i="1"/>
  <c r="V31" i="1"/>
  <c r="U30" i="1"/>
  <c r="V30" i="1" s="1"/>
  <c r="U29" i="1"/>
  <c r="V29" i="1"/>
  <c r="U28" i="1"/>
  <c r="V28" i="1"/>
  <c r="T34" i="1"/>
  <c r="T33" i="1"/>
  <c r="T32" i="1"/>
  <c r="T31" i="1"/>
  <c r="T30" i="1"/>
  <c r="T29" i="1"/>
  <c r="T28" i="1"/>
  <c r="T27" i="1"/>
  <c r="U27" i="1" s="1"/>
  <c r="V27" i="1" s="1"/>
  <c r="I27" i="1"/>
  <c r="J27" i="1"/>
  <c r="K27" i="1" s="1"/>
  <c r="I28" i="1"/>
  <c r="J28" i="1"/>
  <c r="K28" i="1" s="1"/>
  <c r="I29" i="1"/>
  <c r="J29" i="1" s="1"/>
  <c r="K29" i="1" s="1"/>
  <c r="I30" i="1"/>
  <c r="J30" i="1"/>
  <c r="K30" i="1" s="1"/>
  <c r="I31" i="1"/>
  <c r="J31" i="1" s="1"/>
  <c r="K31" i="1" s="1"/>
  <c r="I32" i="1"/>
  <c r="J32" i="1" s="1"/>
  <c r="K32" i="1" s="1"/>
  <c r="I33" i="1"/>
  <c r="J33" i="1" s="1"/>
  <c r="K33" i="1" s="1"/>
  <c r="I34" i="1"/>
  <c r="J34" i="1" s="1"/>
  <c r="K34" i="1" s="1"/>
  <c r="B34" i="1"/>
  <c r="B33" i="1"/>
  <c r="B32" i="1"/>
  <c r="B31" i="1"/>
  <c r="B30" i="1"/>
  <c r="B29" i="1"/>
  <c r="B28" i="1"/>
  <c r="B27" i="1"/>
  <c r="O34" i="1"/>
  <c r="O33" i="1"/>
  <c r="O32" i="1"/>
  <c r="O31" i="1"/>
  <c r="O30" i="1"/>
  <c r="O29" i="1"/>
  <c r="O28" i="1"/>
  <c r="O27" i="1"/>
  <c r="C18" i="1" l="1"/>
  <c r="D18" i="1" s="1"/>
  <c r="C16" i="1"/>
  <c r="D16" i="1" s="1"/>
  <c r="B18" i="1"/>
  <c r="B17" i="1"/>
  <c r="C17" i="1" s="1"/>
  <c r="D17" i="1" s="1"/>
  <c r="B16" i="1"/>
  <c r="B15" i="1"/>
  <c r="C15" i="1" s="1"/>
  <c r="D15" i="1" s="1"/>
  <c r="C14" i="1"/>
  <c r="D14" i="1" s="1"/>
  <c r="B14" i="1"/>
  <c r="B13" i="1"/>
  <c r="C13" i="1" s="1"/>
  <c r="D13" i="1" s="1"/>
  <c r="B12" i="1"/>
  <c r="C12" i="1" s="1"/>
  <c r="D12" i="1" s="1"/>
  <c r="B11" i="1"/>
  <c r="C11" i="1"/>
  <c r="D11" i="1" s="1"/>
</calcChain>
</file>

<file path=xl/sharedStrings.xml><?xml version="1.0" encoding="utf-8"?>
<sst xmlns="http://schemas.openxmlformats.org/spreadsheetml/2006/main" count="27" uniqueCount="11">
  <si>
    <t>NIV Temporary Worker Data and Visuals</t>
  </si>
  <si>
    <t>NIV Temp. Worker Volume Totals 2020 - 2032</t>
  </si>
  <si>
    <t>Year</t>
  </si>
  <si>
    <t>H1B</t>
  </si>
  <si>
    <t>H2A</t>
  </si>
  <si>
    <t>H2B</t>
  </si>
  <si>
    <t>Country: India</t>
  </si>
  <si>
    <t>Country: Mexico</t>
  </si>
  <si>
    <t>Country: China</t>
  </si>
  <si>
    <t>Country: South Korea</t>
  </si>
  <si>
    <t>Country: 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</si>
</sst>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/>
    <xf numFmtId="3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Temporary Worker Volumes 2020 - 2032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53937007874016"/>
          <c:y val="0.17634259259259263"/>
          <c:w val="0.64426596675415571"/>
          <c:h val="0.62308654126567509"/>
        </c:manualLayout>
      </c:layout>
      <c:lineChart>
        <c:grouping val="standard"/>
        <c:varyColors val="0"/>
        <c:ser>
          <c:idx val="1"/>
          <c:order val="1"/>
          <c:tx>
            <c:strRef>
              <c:f>Sheet1!$B$5</c:f>
              <c:strCache>
                <c:ptCount val="1"/>
                <c:pt idx="0">
                  <c:v>H1B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Sheet1!$A$6:$A$18</c:f>
              <c:numCache>
                <c:formatCode>General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</c:numCache>
            </c:numRef>
          </c:cat>
          <c:val>
            <c:numRef>
              <c:f>Sheet1!$B$6:$B$18</c:f>
              <c:numCache>
                <c:formatCode>#,##0</c:formatCode>
                <c:ptCount val="13"/>
                <c:pt idx="0">
                  <c:v>124983</c:v>
                </c:pt>
                <c:pt idx="1">
                  <c:v>61569</c:v>
                </c:pt>
                <c:pt idx="2">
                  <c:v>206002</c:v>
                </c:pt>
                <c:pt idx="3">
                  <c:v>265777</c:v>
                </c:pt>
                <c:pt idx="4">
                  <c:v>219659</c:v>
                </c:pt>
                <c:pt idx="5" formatCode="General">
                  <c:v>293666</c:v>
                </c:pt>
                <c:pt idx="6" formatCode="General">
                  <c:v>333022</c:v>
                </c:pt>
                <c:pt idx="7" formatCode="General">
                  <c:v>372378</c:v>
                </c:pt>
                <c:pt idx="8" formatCode="General">
                  <c:v>411734</c:v>
                </c:pt>
                <c:pt idx="9" formatCode="General">
                  <c:v>451090</c:v>
                </c:pt>
                <c:pt idx="10" formatCode="General">
                  <c:v>490446</c:v>
                </c:pt>
                <c:pt idx="11" formatCode="General">
                  <c:v>529802</c:v>
                </c:pt>
                <c:pt idx="12" formatCode="General">
                  <c:v>569158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A6-40E5-A7BA-528FDC2D4B51}"/>
            </c:ext>
          </c:extLst>
        </c:ser>
        <c:ser>
          <c:idx val="2"/>
          <c:order val="2"/>
          <c:tx>
            <c:strRef>
              <c:f>Sheet1!$C$5</c:f>
              <c:strCache>
                <c:ptCount val="1"/>
                <c:pt idx="0">
                  <c:v>H2A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Sheet1!$A$6:$A$18</c:f>
              <c:numCache>
                <c:formatCode>General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</c:numCache>
            </c:numRef>
          </c:cat>
          <c:val>
            <c:numRef>
              <c:f>Sheet1!$C$6:$C$18</c:f>
              <c:numCache>
                <c:formatCode>#,##0</c:formatCode>
                <c:ptCount val="13"/>
                <c:pt idx="0">
                  <c:v>213394</c:v>
                </c:pt>
                <c:pt idx="1">
                  <c:v>257898</c:v>
                </c:pt>
                <c:pt idx="2">
                  <c:v>298336</c:v>
                </c:pt>
                <c:pt idx="3">
                  <c:v>310676</c:v>
                </c:pt>
                <c:pt idx="4">
                  <c:v>315328</c:v>
                </c:pt>
                <c:pt idx="5" formatCode="General">
                  <c:v>327006.69144333154</c:v>
                </c:pt>
                <c:pt idx="6" formatCode="General">
                  <c:v>342966.78859110869</c:v>
                </c:pt>
                <c:pt idx="7" formatCode="General">
                  <c:v>358926.88573888585</c:v>
                </c:pt>
                <c:pt idx="8" formatCode="General">
                  <c:v>374886.98288666306</c:v>
                </c:pt>
                <c:pt idx="9" formatCode="General">
                  <c:v>390847.08003444021</c:v>
                </c:pt>
                <c:pt idx="10" formatCode="General">
                  <c:v>406807.17718221736</c:v>
                </c:pt>
                <c:pt idx="11" formatCode="General">
                  <c:v>422767.27432999457</c:v>
                </c:pt>
                <c:pt idx="12" formatCode="General">
                  <c:v>438727.37147777173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A6-40E5-A7BA-528FDC2D4B51}"/>
            </c:ext>
          </c:extLst>
        </c:ser>
        <c:ser>
          <c:idx val="3"/>
          <c:order val="3"/>
          <c:tx>
            <c:strRef>
              <c:f>Sheet1!$D$5</c:f>
              <c:strCache>
                <c:ptCount val="1"/>
                <c:pt idx="0">
                  <c:v>H2B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Sheet1!$A$6:$A$18</c:f>
              <c:numCache>
                <c:formatCode>General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</c:numCache>
            </c:numRef>
          </c:cat>
          <c:val>
            <c:numRef>
              <c:f>Sheet1!$D$6:$D$18</c:f>
              <c:numCache>
                <c:formatCode>#,##0</c:formatCode>
                <c:ptCount val="13"/>
                <c:pt idx="0">
                  <c:v>61864</c:v>
                </c:pt>
                <c:pt idx="1">
                  <c:v>95053</c:v>
                </c:pt>
                <c:pt idx="2">
                  <c:v>124644</c:v>
                </c:pt>
                <c:pt idx="3">
                  <c:v>131704</c:v>
                </c:pt>
                <c:pt idx="4">
                  <c:v>139541</c:v>
                </c:pt>
                <c:pt idx="5" formatCode="General">
                  <c:v>146035.03476622765</c:v>
                </c:pt>
                <c:pt idx="6" formatCode="General">
                  <c:v>157859.64635497023</c:v>
                </c:pt>
                <c:pt idx="7" formatCode="General">
                  <c:v>169684.25794371276</c:v>
                </c:pt>
                <c:pt idx="8" formatCode="General">
                  <c:v>181508.86953245528</c:v>
                </c:pt>
                <c:pt idx="9" formatCode="General">
                  <c:v>193333.48112119787</c:v>
                </c:pt>
                <c:pt idx="10" formatCode="General">
                  <c:v>205158.09270994039</c:v>
                </c:pt>
                <c:pt idx="11" formatCode="General">
                  <c:v>216982.70429868298</c:v>
                </c:pt>
                <c:pt idx="12" formatCode="General">
                  <c:v>228807.3158874255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7C-4784-9D50-6BAEEDEBF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2137071"/>
        <c:axId val="123214331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Sheet1!$A$6:$A$18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Sheet1!$A$6:$A$18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8A6-40E5-A7BA-528FDC2D4B51}"/>
                  </c:ext>
                </c:extLst>
              </c15:ser>
            </c15:filteredLineSeries>
          </c:ext>
        </c:extLst>
      </c:lineChart>
      <c:dateAx>
        <c:axId val="1232137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43311"/>
        <c:crosses val="autoZero"/>
        <c:auto val="0"/>
        <c:lblOffset val="100"/>
        <c:baseTimeUnit val="days"/>
      </c:dateAx>
      <c:valAx>
        <c:axId val="123214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Visa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3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Temp. Worker Volumes in India 2020 - 2032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Sheet1!$B$20:$B$21</c:f>
              <c:strCache>
                <c:ptCount val="2"/>
                <c:pt idx="0">
                  <c:v>Country: India</c:v>
                </c:pt>
                <c:pt idx="1">
                  <c:v>H1B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Sheet1!$A$22:$A$34</c:f>
              <c:numCache>
                <c:formatCode>General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</c:numCache>
            </c:numRef>
          </c:cat>
          <c:val>
            <c:numRef>
              <c:f>Sheet1!$B$22:$B$34</c:f>
              <c:numCache>
                <c:formatCode>#,##0</c:formatCode>
                <c:ptCount val="13"/>
                <c:pt idx="0">
                  <c:v>94558</c:v>
                </c:pt>
                <c:pt idx="1">
                  <c:v>46006</c:v>
                </c:pt>
                <c:pt idx="2">
                  <c:v>166271</c:v>
                </c:pt>
                <c:pt idx="3">
                  <c:v>206591</c:v>
                </c:pt>
                <c:pt idx="4">
                  <c:v>150647</c:v>
                </c:pt>
                <c:pt idx="5" formatCode="General">
                  <c:v>214643.5</c:v>
                </c:pt>
                <c:pt idx="6" formatCode="General">
                  <c:v>241919.79999999702</c:v>
                </c:pt>
                <c:pt idx="7" formatCode="General">
                  <c:v>269196.10000000149</c:v>
                </c:pt>
                <c:pt idx="8" formatCode="General">
                  <c:v>296472.39999999851</c:v>
                </c:pt>
                <c:pt idx="9" formatCode="General">
                  <c:v>323748.69999999553</c:v>
                </c:pt>
                <c:pt idx="10" formatCode="General">
                  <c:v>351025</c:v>
                </c:pt>
                <c:pt idx="11" formatCode="General">
                  <c:v>378301.29999999702</c:v>
                </c:pt>
                <c:pt idx="12" formatCode="General">
                  <c:v>405577.60000000149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C5-4415-AA4A-B6FAA6672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9522240"/>
        <c:axId val="12895150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Sheet1!$A$21:$B$21</c15:sqref>
                        </c15:formulaRef>
                      </c:ext>
                    </c:extLst>
                    <c:strCache>
                      <c:ptCount val="1"/>
                      <c:pt idx="0">
                        <c:v>Year H1B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Sheet1!$A$22:$A$34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Sheet1!$A$22:$A$34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7C5-4415-AA4A-B6FAA6672B2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Sheet1!$C$20:$C$21</c15:sqref>
                        </c15:formulaRef>
                      </c:ext>
                    </c:extLst>
                    <c:strCache>
                      <c:ptCount val="2"/>
                      <c:pt idx="0">
                        <c:v>Country: India</c:v>
                      </c:pt>
                      <c:pt idx="1">
                        <c:v>H1B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Sheet1!$A$22:$A$34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Sheet1!$C$22:$C$34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7C5-4415-AA4A-B6FAA6672B2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Sheet1!$D$20:$D$21</c15:sqref>
                        </c15:formulaRef>
                      </c:ext>
                    </c:extLst>
                    <c:strCache>
                      <c:ptCount val="2"/>
                      <c:pt idx="0">
                        <c:v>Country: India</c:v>
                      </c:pt>
                      <c:pt idx="1">
                        <c:v>H1B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Sheet1!$A$22:$A$34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Sheet1!$D$22:$D$34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7C5-4415-AA4A-B6FAA6672B2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Sheet1!$E$20:$E$21</c15:sqref>
                        </c15:formulaRef>
                      </c:ext>
                    </c:extLst>
                    <c:strCache>
                      <c:ptCount val="2"/>
                      <c:pt idx="0">
                        <c:v>Country: India</c:v>
                      </c:pt>
                      <c:pt idx="1">
                        <c:v>H1B</c:v>
                      </c:pt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Sheet1!$A$22:$A$34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Sheet1!$E$22:$E$34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7C5-4415-AA4A-B6FAA6672B2D}"/>
                  </c:ext>
                </c:extLst>
              </c15:ser>
            </c15:filteredLineSeries>
          </c:ext>
        </c:extLst>
      </c:lineChart>
      <c:catAx>
        <c:axId val="12895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15040"/>
        <c:crosses val="autoZero"/>
        <c:auto val="1"/>
        <c:lblAlgn val="ctr"/>
        <c:lblOffset val="100"/>
        <c:noMultiLvlLbl val="0"/>
      </c:catAx>
      <c:valAx>
        <c:axId val="128951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Temp. Worker Volumes in China 2020 - 2032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Sheet1!$O$21</c:f>
              <c:strCache>
                <c:ptCount val="1"/>
                <c:pt idx="0">
                  <c:v>H1B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Sheet1!$N$22:$N$34</c:f>
              <c:numCache>
                <c:formatCode>General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</c:numCache>
            </c:numRef>
          </c:cat>
          <c:val>
            <c:numRef>
              <c:f>Sheet1!$O$22:$O$34</c:f>
              <c:numCache>
                <c:formatCode>#,##0</c:formatCode>
                <c:ptCount val="13"/>
                <c:pt idx="0">
                  <c:v>14600</c:v>
                </c:pt>
                <c:pt idx="1">
                  <c:v>2357</c:v>
                </c:pt>
                <c:pt idx="2">
                  <c:v>6070</c:v>
                </c:pt>
                <c:pt idx="3">
                  <c:v>23482</c:v>
                </c:pt>
                <c:pt idx="4">
                  <c:v>31735</c:v>
                </c:pt>
                <c:pt idx="5" formatCode="General">
                  <c:v>32267.300000000745</c:v>
                </c:pt>
                <c:pt idx="6" formatCode="General">
                  <c:v>37806.800000000745</c:v>
                </c:pt>
                <c:pt idx="7" formatCode="General">
                  <c:v>43346.300000000745</c:v>
                </c:pt>
                <c:pt idx="8" formatCode="General">
                  <c:v>48885.800000000745</c:v>
                </c:pt>
                <c:pt idx="9" formatCode="General">
                  <c:v>54425.300000000745</c:v>
                </c:pt>
                <c:pt idx="10" formatCode="General">
                  <c:v>59964.800000000745</c:v>
                </c:pt>
                <c:pt idx="11" formatCode="General">
                  <c:v>65504.300000000745</c:v>
                </c:pt>
                <c:pt idx="12" formatCode="General">
                  <c:v>71043.800000000745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27-43C6-97FD-22DA65CCA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9516960"/>
        <c:axId val="12895160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Sheet1!$N$21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Sheet1!$N$22:$N$34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Sheet1!$N$22:$N$34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327-43C6-97FD-22DA65CCA0EF}"/>
                  </c:ext>
                </c:extLst>
              </c15:ser>
            </c15:filteredLineSeries>
          </c:ext>
        </c:extLst>
      </c:lineChart>
      <c:catAx>
        <c:axId val="128951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16000"/>
        <c:crosses val="autoZero"/>
        <c:auto val="1"/>
        <c:lblAlgn val="ctr"/>
        <c:lblOffset val="100"/>
        <c:noMultiLvlLbl val="0"/>
      </c:catAx>
      <c:valAx>
        <c:axId val="128951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1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Temp. Worker Volumes in Mexico 2020 - 2032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Sheet1!$I$20:$I$21</c:f>
              <c:strCache>
                <c:ptCount val="2"/>
                <c:pt idx="0">
                  <c:v>Country: Mexico</c:v>
                </c:pt>
                <c:pt idx="1">
                  <c:v>H1B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Sheet1!$H$22:$H$34</c:f>
              <c:numCache>
                <c:formatCode>General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</c:numCache>
            </c:numRef>
          </c:cat>
          <c:val>
            <c:numRef>
              <c:f>Sheet1!$I$22:$I$34</c:f>
              <c:numCache>
                <c:formatCode>#,##0</c:formatCode>
                <c:ptCount val="13"/>
                <c:pt idx="0">
                  <c:v>1552</c:v>
                </c:pt>
                <c:pt idx="1">
                  <c:v>1828</c:v>
                </c:pt>
                <c:pt idx="2">
                  <c:v>2069</c:v>
                </c:pt>
                <c:pt idx="3">
                  <c:v>1934</c:v>
                </c:pt>
                <c:pt idx="4">
                  <c:v>1954</c:v>
                </c:pt>
                <c:pt idx="5" formatCode="General">
                  <c:v>2140.3999999999942</c:v>
                </c:pt>
                <c:pt idx="6" formatCode="General">
                  <c:v>2231.3999999999942</c:v>
                </c:pt>
                <c:pt idx="7" formatCode="General">
                  <c:v>2322.3999999999942</c:v>
                </c:pt>
                <c:pt idx="8" formatCode="General">
                  <c:v>2413.3999999999942</c:v>
                </c:pt>
                <c:pt idx="9" formatCode="General">
                  <c:v>2504.3999999999942</c:v>
                </c:pt>
                <c:pt idx="10" formatCode="General">
                  <c:v>2595.3999999999942</c:v>
                </c:pt>
                <c:pt idx="11" formatCode="General">
                  <c:v>2686.3999999999942</c:v>
                </c:pt>
                <c:pt idx="12" formatCode="General">
                  <c:v>2777.3999999999942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89-40F7-B9EF-0AD4BD29427E}"/>
            </c:ext>
          </c:extLst>
        </c:ser>
        <c:ser>
          <c:idx val="3"/>
          <c:order val="3"/>
          <c:tx>
            <c:strRef>
              <c:f>Sheet1!$J$20:$J$21</c:f>
              <c:strCache>
                <c:ptCount val="2"/>
                <c:pt idx="0">
                  <c:v>Country: Mexico</c:v>
                </c:pt>
                <c:pt idx="1">
                  <c:v>H2A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Sheet1!$H$22:$H$34</c:f>
              <c:numCache>
                <c:formatCode>General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</c:numCache>
            </c:numRef>
          </c:cat>
          <c:val>
            <c:numRef>
              <c:f>Sheet1!$J$22:$J$34</c:f>
              <c:numCache>
                <c:formatCode>#,##0</c:formatCode>
                <c:ptCount val="13"/>
                <c:pt idx="0">
                  <c:v>197908</c:v>
                </c:pt>
                <c:pt idx="1">
                  <c:v>239274</c:v>
                </c:pt>
                <c:pt idx="2">
                  <c:v>275981</c:v>
                </c:pt>
                <c:pt idx="3">
                  <c:v>284272</c:v>
                </c:pt>
                <c:pt idx="4">
                  <c:v>285781</c:v>
                </c:pt>
                <c:pt idx="5" formatCode="General">
                  <c:v>305466.92690733145</c:v>
                </c:pt>
                <c:pt idx="6" formatCode="General">
                  <c:v>321741.50254310889</c:v>
                </c:pt>
                <c:pt idx="7" formatCode="General">
                  <c:v>338016.07817888638</c:v>
                </c:pt>
                <c:pt idx="8" formatCode="General">
                  <c:v>354290.65381466388</c:v>
                </c:pt>
                <c:pt idx="9" formatCode="General">
                  <c:v>370565.22945044137</c:v>
                </c:pt>
                <c:pt idx="10" formatCode="General">
                  <c:v>386839.80508621887</c:v>
                </c:pt>
                <c:pt idx="11" formatCode="General">
                  <c:v>403114.38072199636</c:v>
                </c:pt>
                <c:pt idx="12" formatCode="General">
                  <c:v>419388.9563577738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89-40F7-B9EF-0AD4BD29427E}"/>
            </c:ext>
          </c:extLst>
        </c:ser>
        <c:ser>
          <c:idx val="4"/>
          <c:order val="4"/>
          <c:tx>
            <c:strRef>
              <c:f>Sheet1!$K$20:$K$21</c:f>
              <c:strCache>
                <c:ptCount val="2"/>
                <c:pt idx="0">
                  <c:v>Country: Mexico</c:v>
                </c:pt>
                <c:pt idx="1">
                  <c:v>H2B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Sheet1!$H$22:$H$34</c:f>
              <c:numCache>
                <c:formatCode>General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</c:numCache>
            </c:numRef>
          </c:cat>
          <c:val>
            <c:numRef>
              <c:f>Sheet1!$K$22:$K$34</c:f>
              <c:numCache>
                <c:formatCode>#,##0</c:formatCode>
                <c:ptCount val="13"/>
                <c:pt idx="0">
                  <c:v>46201</c:v>
                </c:pt>
                <c:pt idx="1">
                  <c:v>71119</c:v>
                </c:pt>
                <c:pt idx="2">
                  <c:v>84495</c:v>
                </c:pt>
                <c:pt idx="3">
                  <c:v>84900</c:v>
                </c:pt>
                <c:pt idx="4">
                  <c:v>90457</c:v>
                </c:pt>
                <c:pt idx="5" formatCode="General">
                  <c:v>98123.449363752472</c:v>
                </c:pt>
                <c:pt idx="6" formatCode="General">
                  <c:v>105686.46581833676</c:v>
                </c:pt>
                <c:pt idx="7" formatCode="General">
                  <c:v>113249.48227292107</c:v>
                </c:pt>
                <c:pt idx="8" formatCode="General">
                  <c:v>120812.49872750539</c:v>
                </c:pt>
                <c:pt idx="9" formatCode="General">
                  <c:v>128375.51518208973</c:v>
                </c:pt>
                <c:pt idx="10" formatCode="General">
                  <c:v>135938.53163667404</c:v>
                </c:pt>
                <c:pt idx="11" formatCode="General">
                  <c:v>143501.54809125836</c:v>
                </c:pt>
                <c:pt idx="12" formatCode="General">
                  <c:v>151064.56454584264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89-40F7-B9EF-0AD4BD294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9534240"/>
        <c:axId val="12895328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Sheet1!$G$20:$G$21</c15:sqref>
                        </c15:formulaRef>
                      </c:ext>
                    </c:extLst>
                    <c:strCache>
                      <c:ptCount val="2"/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Sheet1!$H$22:$H$34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Sheet1!$G$22:$G$34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389-40F7-B9EF-0AD4BD29427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Sheet1!$H$20:$H$21</c15:sqref>
                        </c15:formulaRef>
                      </c:ext>
                    </c:extLst>
                    <c:strCache>
                      <c:ptCount val="2"/>
                      <c:pt idx="0">
                        <c:v>Country: Mexico</c:v>
                      </c:pt>
                      <c:pt idx="1">
                        <c:v>Year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Sheet1!$H$22:$H$34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Sheet1!$H$22:$H$34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389-40F7-B9EF-0AD4BD29427E}"/>
                  </c:ext>
                </c:extLst>
              </c15:ser>
            </c15:filteredLineSeries>
          </c:ext>
        </c:extLst>
      </c:lineChart>
      <c:dateAx>
        <c:axId val="12895342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32800"/>
        <c:crosses val="autoZero"/>
        <c:auto val="0"/>
        <c:lblOffset val="100"/>
        <c:baseTimeUnit val="days"/>
      </c:dateAx>
      <c:valAx>
        <c:axId val="128953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3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Temp. Worker Volumes in S.</a:t>
            </a:r>
            <a:r>
              <a:rPr lang="en-US" baseline="0"/>
              <a:t> Korea</a:t>
            </a:r>
            <a:r>
              <a:rPr lang="en-US"/>
              <a:t> 2020 - 2032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Sheet1!$T$20:$T$21</c:f>
              <c:strCache>
                <c:ptCount val="2"/>
                <c:pt idx="0">
                  <c:v>Country: South Korea</c:v>
                </c:pt>
                <c:pt idx="1">
                  <c:v>H1B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Sheet1!$S$22:$S$34</c:f>
              <c:numCache>
                <c:formatCode>General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</c:numCache>
            </c:numRef>
          </c:cat>
          <c:val>
            <c:numRef>
              <c:f>Sheet1!$T$22:$T$34</c:f>
              <c:numCache>
                <c:formatCode>#,##0</c:formatCode>
                <c:ptCount val="13"/>
                <c:pt idx="0">
                  <c:v>1076</c:v>
                </c:pt>
                <c:pt idx="1">
                  <c:v>1218</c:v>
                </c:pt>
                <c:pt idx="2">
                  <c:v>2140</c:v>
                </c:pt>
                <c:pt idx="3">
                  <c:v>2243</c:v>
                </c:pt>
                <c:pt idx="4">
                  <c:v>2289</c:v>
                </c:pt>
                <c:pt idx="5" formatCode="General">
                  <c:v>2828.4999999998836</c:v>
                </c:pt>
                <c:pt idx="6" formatCode="General">
                  <c:v>3173.5999999999767</c:v>
                </c:pt>
                <c:pt idx="7" formatCode="General">
                  <c:v>3518.6999999999534</c:v>
                </c:pt>
                <c:pt idx="8" formatCode="General">
                  <c:v>3863.7999999999302</c:v>
                </c:pt>
                <c:pt idx="9" formatCode="General">
                  <c:v>4208.8999999999069</c:v>
                </c:pt>
                <c:pt idx="10" formatCode="General">
                  <c:v>4553.9999999998836</c:v>
                </c:pt>
                <c:pt idx="11" formatCode="General">
                  <c:v>4899.0999999999767</c:v>
                </c:pt>
                <c:pt idx="12" formatCode="General">
                  <c:v>5244.1999999999534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13-4C28-A940-F0629982A674}"/>
            </c:ext>
          </c:extLst>
        </c:ser>
        <c:ser>
          <c:idx val="2"/>
          <c:order val="2"/>
          <c:tx>
            <c:strRef>
              <c:f>Sheet1!$U$20:$U$21</c:f>
              <c:strCache>
                <c:ptCount val="2"/>
                <c:pt idx="0">
                  <c:v>Country: South Korea</c:v>
                </c:pt>
                <c:pt idx="1">
                  <c:v>H2A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Sheet1!$S$22:$S$34</c:f>
              <c:numCache>
                <c:formatCode>General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</c:numCache>
            </c:numRef>
          </c:cat>
          <c:val>
            <c:numRef>
              <c:f>Sheet1!$U$22:$U$34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1.3252523912048229</c:v>
                </c:pt>
                <c:pt idx="6">
                  <c:v>1.5003365216064974</c:v>
                </c:pt>
                <c:pt idx="7">
                  <c:v>1.675420652008113</c:v>
                </c:pt>
                <c:pt idx="8">
                  <c:v>1.8505047824097285</c:v>
                </c:pt>
                <c:pt idx="9">
                  <c:v>2.0255889128113438</c:v>
                </c:pt>
                <c:pt idx="10">
                  <c:v>2.2006730432129595</c:v>
                </c:pt>
                <c:pt idx="11">
                  <c:v>2.3757571736146339</c:v>
                </c:pt>
                <c:pt idx="12">
                  <c:v>2.5508413040162496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13-4C28-A940-F0629982A674}"/>
            </c:ext>
          </c:extLst>
        </c:ser>
        <c:ser>
          <c:idx val="3"/>
          <c:order val="3"/>
          <c:tx>
            <c:strRef>
              <c:f>Sheet1!$V$20:$V$21</c:f>
              <c:strCache>
                <c:ptCount val="2"/>
                <c:pt idx="0">
                  <c:v>Country: South Korea</c:v>
                </c:pt>
                <c:pt idx="1">
                  <c:v>H2B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Sheet1!$S$22:$S$34</c:f>
              <c:numCache>
                <c:formatCode>General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</c:numCache>
            </c:numRef>
          </c:cat>
          <c:val>
            <c:numRef>
              <c:f>Sheet1!$V$22:$V$34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62</c:v>
                </c:pt>
                <c:pt idx="3">
                  <c:v>127</c:v>
                </c:pt>
                <c:pt idx="4">
                  <c:v>16</c:v>
                </c:pt>
                <c:pt idx="5">
                  <c:v>68.256558853644748</c:v>
                </c:pt>
                <c:pt idx="6">
                  <c:v>77.142078471529743</c:v>
                </c:pt>
                <c:pt idx="7">
                  <c:v>86.027598089411725</c:v>
                </c:pt>
                <c:pt idx="8">
                  <c:v>94.913117707293708</c:v>
                </c:pt>
                <c:pt idx="9">
                  <c:v>103.79863732517569</c:v>
                </c:pt>
                <c:pt idx="10">
                  <c:v>112.6841569430577</c:v>
                </c:pt>
                <c:pt idx="11">
                  <c:v>121.56967656094267</c:v>
                </c:pt>
                <c:pt idx="12">
                  <c:v>130.45519617882465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13-4C28-A940-F0629982A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995279"/>
        <c:axId val="20032112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Sheet1!$T$21:$V$21</c15:sqref>
                        </c15:formulaRef>
                      </c:ext>
                    </c:extLst>
                    <c:strCache>
                      <c:ptCount val="1"/>
                      <c:pt idx="0">
                        <c:v>H1B H2A H2B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Sheet1!$S$22:$S$34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Sheet1!$S$22:$S$34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213-4C28-A940-F0629982A674}"/>
                  </c:ext>
                </c:extLst>
              </c15:ser>
            </c15:filteredLineSeries>
          </c:ext>
        </c:extLst>
      </c:lineChart>
      <c:dateAx>
        <c:axId val="17199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211215"/>
        <c:crosses val="autoZero"/>
        <c:auto val="0"/>
        <c:lblOffset val="100"/>
        <c:baseTimeUnit val="days"/>
      </c:dateAx>
      <c:valAx>
        <c:axId val="200321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9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Temp. Worker Volumes in the Philippines 2020 - 2032</a:t>
            </a:r>
          </a:p>
        </c:rich>
      </c:tx>
      <c:layout>
        <c:manualLayout>
          <c:xMode val="edge"/>
          <c:yMode val="edge"/>
          <c:x val="0.10215270530942669"/>
          <c:y val="2.7777706879022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Sheet1!$Z$20:$Z$21</c:f>
              <c:strCache>
                <c:ptCount val="2"/>
                <c:pt idx="0">
                  <c:v>Country: Philippines</c:v>
                </c:pt>
                <c:pt idx="1">
                  <c:v>H1B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Sheet1!$Y$22:$Y$34</c:f>
              <c:numCache>
                <c:formatCode>General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</c:numCache>
            </c:numRef>
          </c:cat>
          <c:val>
            <c:numRef>
              <c:f>Sheet1!$Z$22:$Z$34</c:f>
              <c:numCache>
                <c:formatCode>General</c:formatCode>
                <c:ptCount val="13"/>
                <c:pt idx="0">
                  <c:v>649</c:v>
                </c:pt>
                <c:pt idx="1">
                  <c:v>808</c:v>
                </c:pt>
                <c:pt idx="2" formatCode="#,##0">
                  <c:v>2151</c:v>
                </c:pt>
                <c:pt idx="3" formatCode="#,##0">
                  <c:v>3070</c:v>
                </c:pt>
                <c:pt idx="4" formatCode="#,##0">
                  <c:v>3562</c:v>
                </c:pt>
                <c:pt idx="5">
                  <c:v>4474.4000000001397</c:v>
                </c:pt>
                <c:pt idx="6">
                  <c:v>5283.1999999999534</c:v>
                </c:pt>
                <c:pt idx="7">
                  <c:v>6092</c:v>
                </c:pt>
                <c:pt idx="8">
                  <c:v>6900.8000000000466</c:v>
                </c:pt>
                <c:pt idx="9">
                  <c:v>7709.6000000000931</c:v>
                </c:pt>
                <c:pt idx="10">
                  <c:v>8518.4000000001397</c:v>
                </c:pt>
                <c:pt idx="11">
                  <c:v>9327.1999999999534</c:v>
                </c:pt>
                <c:pt idx="12">
                  <c:v>10136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AE-4D18-A0EE-36B3E6EFE0F3}"/>
            </c:ext>
          </c:extLst>
        </c:ser>
        <c:ser>
          <c:idx val="2"/>
          <c:order val="2"/>
          <c:tx>
            <c:strRef>
              <c:f>Sheet1!$AA$20:$AA$21</c:f>
              <c:strCache>
                <c:ptCount val="2"/>
                <c:pt idx="0">
                  <c:v>Country: Philippines</c:v>
                </c:pt>
                <c:pt idx="1">
                  <c:v>H2A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Sheet1!$Y$22:$Y$34</c:f>
              <c:numCache>
                <c:formatCode>General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</c:numCache>
            </c:numRef>
          </c:cat>
          <c:val>
            <c:numRef>
              <c:f>Sheet1!$AA$22:$AA$34</c:f>
              <c:numCache>
                <c:formatCode>General</c:formatCode>
                <c:ptCount val="13"/>
                <c:pt idx="0">
                  <c:v>10</c:v>
                </c:pt>
                <c:pt idx="1">
                  <c:v>18</c:v>
                </c:pt>
                <c:pt idx="2">
                  <c:v>39</c:v>
                </c:pt>
                <c:pt idx="3">
                  <c:v>51</c:v>
                </c:pt>
                <c:pt idx="4">
                  <c:v>26</c:v>
                </c:pt>
                <c:pt idx="5">
                  <c:v>49.791523818015875</c:v>
                </c:pt>
                <c:pt idx="6">
                  <c:v>56.788698424019159</c:v>
                </c:pt>
                <c:pt idx="7">
                  <c:v>63.785873030024447</c:v>
                </c:pt>
                <c:pt idx="8">
                  <c:v>70.78304763602975</c:v>
                </c:pt>
                <c:pt idx="9">
                  <c:v>77.780222242035038</c:v>
                </c:pt>
                <c:pt idx="10">
                  <c:v>84.77739684804034</c:v>
                </c:pt>
                <c:pt idx="11">
                  <c:v>91.774571454043624</c:v>
                </c:pt>
                <c:pt idx="12">
                  <c:v>98.771746060048912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AE-4D18-A0EE-36B3E6EFE0F3}"/>
            </c:ext>
          </c:extLst>
        </c:ser>
        <c:ser>
          <c:idx val="3"/>
          <c:order val="3"/>
          <c:tx>
            <c:strRef>
              <c:f>Sheet1!$AB$20:$AB$21</c:f>
              <c:strCache>
                <c:ptCount val="2"/>
                <c:pt idx="0">
                  <c:v>Country: Philippines</c:v>
                </c:pt>
                <c:pt idx="1">
                  <c:v>H2B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Sheet1!$Y$22:$Y$34</c:f>
              <c:numCache>
                <c:formatCode>General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</c:numCache>
            </c:numRef>
          </c:cat>
          <c:val>
            <c:numRef>
              <c:f>Sheet1!$AB$22:$AB$34</c:f>
              <c:numCache>
                <c:formatCode>#,##0</c:formatCode>
                <c:ptCount val="13"/>
                <c:pt idx="0" formatCode="General">
                  <c:v>867</c:v>
                </c:pt>
                <c:pt idx="1">
                  <c:v>1086</c:v>
                </c:pt>
                <c:pt idx="2">
                  <c:v>2746</c:v>
                </c:pt>
                <c:pt idx="3">
                  <c:v>3317</c:v>
                </c:pt>
                <c:pt idx="4">
                  <c:v>2932</c:v>
                </c:pt>
                <c:pt idx="5" formatCode="General">
                  <c:v>3467.0713293664621</c:v>
                </c:pt>
                <c:pt idx="6" formatCode="General">
                  <c:v>3892.8951058218272</c:v>
                </c:pt>
                <c:pt idx="7" formatCode="General">
                  <c:v>4318.7188822773142</c:v>
                </c:pt>
                <c:pt idx="8" formatCode="General">
                  <c:v>4744.542658732802</c:v>
                </c:pt>
                <c:pt idx="9" formatCode="General">
                  <c:v>5170.366435188289</c:v>
                </c:pt>
                <c:pt idx="10" formatCode="General">
                  <c:v>5596.1902116437777</c:v>
                </c:pt>
                <c:pt idx="11" formatCode="General">
                  <c:v>6022.0139880991428</c:v>
                </c:pt>
                <c:pt idx="12" formatCode="General">
                  <c:v>6447.8377645546298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AE-4D18-A0EE-36B3E6EFE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176255"/>
        <c:axId val="20032491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Sheet1!$Y$20:$Y$21</c15:sqref>
                        </c15:formulaRef>
                      </c:ext>
                    </c:extLst>
                    <c:strCache>
                      <c:ptCount val="2"/>
                      <c:pt idx="0">
                        <c:v>Country: Philippines</c:v>
                      </c:pt>
                      <c:pt idx="1">
                        <c:v>Year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Sheet1!$Y$22:$Y$34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Sheet1!$Y$22:$Y$34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9AE-4D18-A0EE-36B3E6EFE0F3}"/>
                  </c:ext>
                </c:extLst>
              </c15:ser>
            </c15:filteredLineSeries>
          </c:ext>
        </c:extLst>
      </c:lineChart>
      <c:dateAx>
        <c:axId val="17017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249135"/>
        <c:crosses val="autoZero"/>
        <c:auto val="0"/>
        <c:lblOffset val="100"/>
        <c:baseTimeUnit val="days"/>
      </c:dateAx>
      <c:valAx>
        <c:axId val="200324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7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2</xdr:row>
      <xdr:rowOff>26670</xdr:rowOff>
    </xdr:from>
    <xdr:to>
      <xdr:col>13</xdr:col>
      <xdr:colOff>137160</xdr:colOff>
      <xdr:row>18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AB371-6760-C7DB-952B-553225352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34</xdr:row>
      <xdr:rowOff>114300</xdr:rowOff>
    </xdr:from>
    <xdr:to>
      <xdr:col>5</xdr:col>
      <xdr:colOff>53340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9CE37C-E816-A7BD-458B-297D9F2F5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548640</xdr:colOff>
      <xdr:row>34</xdr:row>
      <xdr:rowOff>137160</xdr:rowOff>
    </xdr:from>
    <xdr:to>
      <xdr:col>17</xdr:col>
      <xdr:colOff>312420</xdr:colOff>
      <xdr:row>44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E73181-2351-FF5D-2D35-1E0A15850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342900</xdr:colOff>
      <xdr:row>34</xdr:row>
      <xdr:rowOff>72390</xdr:rowOff>
    </xdr:from>
    <xdr:to>
      <xdr:col>11</xdr:col>
      <xdr:colOff>464820</xdr:colOff>
      <xdr:row>47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3479AC-681D-EBCD-3533-68AB1FF48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342900</xdr:colOff>
      <xdr:row>34</xdr:row>
      <xdr:rowOff>125730</xdr:rowOff>
    </xdr:from>
    <xdr:to>
      <xdr:col>23</xdr:col>
      <xdr:colOff>563880</xdr:colOff>
      <xdr:row>49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B553A0-2FD1-79E3-B1AE-F7B454913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35</xdr:row>
      <xdr:rowOff>11430</xdr:rowOff>
    </xdr:from>
    <xdr:to>
      <xdr:col>30</xdr:col>
      <xdr:colOff>137160</xdr:colOff>
      <xdr:row>47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7E8FEF2-B17D-19AD-1EB9-E731A0C11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7E347-2361-43CE-BECC-CDAB086D7532}">
  <dimension ref="A2:AB34"/>
  <sheetViews>
    <sheetView tabSelected="1" workbookViewId="0">
      <selection activeCell="E12" sqref="E12"/>
    </sheetView>
  </sheetViews>
  <sheetFormatPr defaultRowHeight="14.4" x14ac:dyDescent="0.3"/>
  <cols>
    <col min="4" max="4" width="11" customWidth="1"/>
  </cols>
  <sheetData>
    <row r="2" spans="1:12" x14ac:dyDescent="0.3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3">
      <c r="B3" s="1"/>
      <c r="C3" s="1"/>
      <c r="D3" s="1"/>
      <c r="E3" s="1"/>
      <c r="F3" s="1"/>
    </row>
    <row r="4" spans="1:12" x14ac:dyDescent="0.3">
      <c r="A4" s="10" t="s">
        <v>1</v>
      </c>
      <c r="B4" s="10"/>
      <c r="C4" s="10"/>
      <c r="D4" s="10"/>
      <c r="E4" s="1"/>
      <c r="F4" s="1"/>
    </row>
    <row r="5" spans="1:12" x14ac:dyDescent="0.3">
      <c r="A5" s="4" t="s">
        <v>2</v>
      </c>
      <c r="B5" s="4" t="s">
        <v>3</v>
      </c>
      <c r="C5" s="4" t="s">
        <v>4</v>
      </c>
      <c r="D5" s="4" t="s">
        <v>5</v>
      </c>
    </row>
    <row r="6" spans="1:12" x14ac:dyDescent="0.3">
      <c r="A6" s="5">
        <v>2020</v>
      </c>
      <c r="B6" s="6">
        <v>124983</v>
      </c>
      <c r="C6" s="6">
        <v>213394</v>
      </c>
      <c r="D6" s="6">
        <v>61864</v>
      </c>
    </row>
    <row r="7" spans="1:12" x14ac:dyDescent="0.3">
      <c r="A7" s="5">
        <v>2021</v>
      </c>
      <c r="B7" s="6">
        <v>61569</v>
      </c>
      <c r="C7" s="6">
        <v>257898</v>
      </c>
      <c r="D7" s="6">
        <v>95053</v>
      </c>
    </row>
    <row r="8" spans="1:12" x14ac:dyDescent="0.3">
      <c r="A8" s="5">
        <v>2022</v>
      </c>
      <c r="B8" s="6">
        <v>206002</v>
      </c>
      <c r="C8" s="6">
        <v>298336</v>
      </c>
      <c r="D8" s="6">
        <v>124644</v>
      </c>
    </row>
    <row r="9" spans="1:12" x14ac:dyDescent="0.3">
      <c r="A9" s="5">
        <v>2023</v>
      </c>
      <c r="B9" s="6">
        <v>265777</v>
      </c>
      <c r="C9" s="6">
        <v>310676</v>
      </c>
      <c r="D9" s="6">
        <v>131704</v>
      </c>
    </row>
    <row r="10" spans="1:12" x14ac:dyDescent="0.3">
      <c r="A10" s="5">
        <v>2024</v>
      </c>
      <c r="B10" s="6">
        <v>219659</v>
      </c>
      <c r="C10" s="6">
        <v>315328</v>
      </c>
      <c r="D10" s="6">
        <v>139541</v>
      </c>
    </row>
    <row r="11" spans="1:12" x14ac:dyDescent="0.3">
      <c r="A11" s="5">
        <v>2025</v>
      </c>
      <c r="B11" s="5">
        <f>TREND(B$6:B$10, A$6:A$10, A$11)</f>
        <v>293666</v>
      </c>
      <c r="C11" s="5">
        <f>TREND(C$6:C$10, B$6:B$10, B$11)</f>
        <v>327006.69144333154</v>
      </c>
      <c r="D11" s="5">
        <f>TREND(D$6:D$10, C$6:C$10, C$11)</f>
        <v>146035.03476622765</v>
      </c>
    </row>
    <row r="12" spans="1:12" x14ac:dyDescent="0.3">
      <c r="A12" s="5">
        <v>2026</v>
      </c>
      <c r="B12" s="5">
        <f>TREND(B$6:B$10, A$6:A$10, A$12)</f>
        <v>333022</v>
      </c>
      <c r="C12" s="5">
        <f t="shared" ref="C12:D12" si="0">TREND(C$6:C$10, B$6:B$10, B$12)</f>
        <v>342966.78859110869</v>
      </c>
      <c r="D12" s="5">
        <f t="shared" si="0"/>
        <v>157859.64635497023</v>
      </c>
    </row>
    <row r="13" spans="1:12" x14ac:dyDescent="0.3">
      <c r="A13" s="5">
        <v>2027</v>
      </c>
      <c r="B13" s="5">
        <f>TREND(B$6:B$10, A$6:A$10, A$13)</f>
        <v>372378</v>
      </c>
      <c r="C13" s="5">
        <f t="shared" ref="C13:D13" si="1">TREND(C$6:C$10, B$6:B$10, B$13)</f>
        <v>358926.88573888585</v>
      </c>
      <c r="D13" s="5">
        <f t="shared" si="1"/>
        <v>169684.25794371276</v>
      </c>
    </row>
    <row r="14" spans="1:12" x14ac:dyDescent="0.3">
      <c r="A14" s="5">
        <v>2028</v>
      </c>
      <c r="B14" s="5">
        <f>TREND(B$6:B$10, A$6:A$10, A$14)</f>
        <v>411734</v>
      </c>
      <c r="C14" s="5">
        <f t="shared" ref="C14:D14" si="2">TREND(C$6:C$10, B$6:B$10, B$14)</f>
        <v>374886.98288666306</v>
      </c>
      <c r="D14" s="5">
        <f t="shared" si="2"/>
        <v>181508.86953245528</v>
      </c>
    </row>
    <row r="15" spans="1:12" x14ac:dyDescent="0.3">
      <c r="A15" s="5">
        <v>2029</v>
      </c>
      <c r="B15" s="5">
        <f>TREND(B$6:B$10, A$6:A$10, A$15)</f>
        <v>451090</v>
      </c>
      <c r="C15" s="5">
        <f t="shared" ref="C15:D15" si="3">TREND(C$6:C$10, B$6:B$10, B$15)</f>
        <v>390847.08003444021</v>
      </c>
      <c r="D15" s="5">
        <f t="shared" si="3"/>
        <v>193333.48112119787</v>
      </c>
    </row>
    <row r="16" spans="1:12" x14ac:dyDescent="0.3">
      <c r="A16" s="5">
        <v>2030</v>
      </c>
      <c r="B16" s="5">
        <f>TREND(B$6:B$10, A$6:A$10, A$16)</f>
        <v>490446</v>
      </c>
      <c r="C16" s="5">
        <f t="shared" ref="C16:D16" si="4">TREND(C$6:C$10, B$6:B$10, B$16)</f>
        <v>406807.17718221736</v>
      </c>
      <c r="D16" s="5">
        <f t="shared" si="4"/>
        <v>205158.09270994039</v>
      </c>
    </row>
    <row r="17" spans="1:28" x14ac:dyDescent="0.3">
      <c r="A17" s="5">
        <v>2031</v>
      </c>
      <c r="B17" s="5">
        <f>TREND(B$6:B$10, A$6:A$10, A$17)</f>
        <v>529802</v>
      </c>
      <c r="C17" s="5">
        <f t="shared" ref="C17:D17" si="5">TREND(C$6:C$10, B$6:B$10, B$17)</f>
        <v>422767.27432999457</v>
      </c>
      <c r="D17" s="5">
        <f t="shared" si="5"/>
        <v>216982.70429868298</v>
      </c>
    </row>
    <row r="18" spans="1:28" x14ac:dyDescent="0.3">
      <c r="A18" s="5">
        <v>2032</v>
      </c>
      <c r="B18" s="5">
        <f>TREND(B$6:B$10, A$6:A$10, A$18)</f>
        <v>569158</v>
      </c>
      <c r="C18" s="5">
        <f t="shared" ref="C18:D18" si="6">TREND(C$6:C$10, B$6:B$10, B$18)</f>
        <v>438727.37147777173</v>
      </c>
      <c r="D18" s="5">
        <f t="shared" si="6"/>
        <v>228807.3158874255</v>
      </c>
    </row>
    <row r="20" spans="1:28" x14ac:dyDescent="0.3">
      <c r="A20" s="10" t="s">
        <v>6</v>
      </c>
      <c r="B20" s="10"/>
      <c r="C20" s="3"/>
      <c r="D20" s="3"/>
      <c r="E20" s="3"/>
      <c r="G20" s="3"/>
      <c r="H20" s="10" t="s">
        <v>7</v>
      </c>
      <c r="I20" s="10"/>
      <c r="J20" s="10"/>
      <c r="K20" s="10"/>
      <c r="M20" s="3"/>
      <c r="N20" s="10" t="s">
        <v>8</v>
      </c>
      <c r="O20" s="10"/>
      <c r="P20" s="3"/>
      <c r="Q20" s="3"/>
      <c r="S20" s="10" t="s">
        <v>9</v>
      </c>
      <c r="T20" s="10"/>
      <c r="U20" s="10"/>
      <c r="V20" s="10"/>
      <c r="Y20" s="10" t="s">
        <v>10</v>
      </c>
      <c r="Z20" s="10"/>
      <c r="AA20" s="10"/>
      <c r="AB20" s="10"/>
    </row>
    <row r="21" spans="1:28" x14ac:dyDescent="0.3">
      <c r="A21" s="7" t="s">
        <v>2</v>
      </c>
      <c r="B21" s="7" t="s">
        <v>3</v>
      </c>
      <c r="C21" s="3"/>
      <c r="D21" s="2"/>
      <c r="E21" s="3"/>
      <c r="G21" s="3"/>
      <c r="H21" s="7" t="s">
        <v>2</v>
      </c>
      <c r="I21" s="7" t="s">
        <v>3</v>
      </c>
      <c r="J21" s="7" t="s">
        <v>4</v>
      </c>
      <c r="K21" s="7" t="s">
        <v>5</v>
      </c>
      <c r="M21" s="3"/>
      <c r="N21" s="7" t="s">
        <v>2</v>
      </c>
      <c r="O21" s="7" t="s">
        <v>3</v>
      </c>
      <c r="S21" s="7" t="s">
        <v>2</v>
      </c>
      <c r="T21" s="7" t="s">
        <v>3</v>
      </c>
      <c r="U21" s="7" t="s">
        <v>4</v>
      </c>
      <c r="V21" s="7" t="s">
        <v>5</v>
      </c>
      <c r="Y21" s="7" t="s">
        <v>2</v>
      </c>
      <c r="Z21" s="7" t="s">
        <v>3</v>
      </c>
      <c r="AA21" s="7" t="s">
        <v>4</v>
      </c>
      <c r="AB21" s="7" t="s">
        <v>5</v>
      </c>
    </row>
    <row r="22" spans="1:28" x14ac:dyDescent="0.3">
      <c r="A22" s="5">
        <v>2020</v>
      </c>
      <c r="B22" s="8">
        <v>94558</v>
      </c>
      <c r="D22" s="2"/>
      <c r="H22" s="5">
        <v>2020</v>
      </c>
      <c r="I22" s="8">
        <v>1552</v>
      </c>
      <c r="J22" s="8">
        <v>197908</v>
      </c>
      <c r="K22" s="8">
        <v>46201</v>
      </c>
      <c r="N22" s="5">
        <v>2020</v>
      </c>
      <c r="O22" s="8">
        <v>14600</v>
      </c>
      <c r="S22" s="5">
        <v>2020</v>
      </c>
      <c r="T22" s="8">
        <v>1076</v>
      </c>
      <c r="U22" s="9">
        <v>0</v>
      </c>
      <c r="V22" s="9">
        <v>1</v>
      </c>
      <c r="Y22" s="5">
        <v>2020</v>
      </c>
      <c r="Z22" s="9">
        <v>649</v>
      </c>
      <c r="AA22" s="9">
        <v>10</v>
      </c>
      <c r="AB22" s="9">
        <v>867</v>
      </c>
    </row>
    <row r="23" spans="1:28" x14ac:dyDescent="0.3">
      <c r="A23" s="5">
        <v>2021</v>
      </c>
      <c r="B23" s="8">
        <v>46006</v>
      </c>
      <c r="D23" s="2"/>
      <c r="H23" s="5">
        <v>2021</v>
      </c>
      <c r="I23" s="8">
        <v>1828</v>
      </c>
      <c r="J23" s="8">
        <v>239274</v>
      </c>
      <c r="K23" s="8">
        <v>71119</v>
      </c>
      <c r="N23" s="5">
        <v>2021</v>
      </c>
      <c r="O23" s="8">
        <v>2357</v>
      </c>
      <c r="S23" s="5">
        <v>2021</v>
      </c>
      <c r="T23" s="8">
        <v>1218</v>
      </c>
      <c r="U23" s="9">
        <v>1</v>
      </c>
      <c r="V23" s="9">
        <v>2</v>
      </c>
      <c r="Y23" s="5">
        <v>2021</v>
      </c>
      <c r="Z23" s="9">
        <v>808</v>
      </c>
      <c r="AA23" s="9">
        <v>18</v>
      </c>
      <c r="AB23" s="8">
        <v>1086</v>
      </c>
    </row>
    <row r="24" spans="1:28" x14ac:dyDescent="0.3">
      <c r="A24" s="5">
        <v>2022</v>
      </c>
      <c r="B24" s="8">
        <v>166271</v>
      </c>
      <c r="D24" s="2"/>
      <c r="H24" s="5">
        <v>2022</v>
      </c>
      <c r="I24" s="8">
        <v>2069</v>
      </c>
      <c r="J24" s="8">
        <v>275981</v>
      </c>
      <c r="K24" s="8">
        <v>84495</v>
      </c>
      <c r="N24" s="5">
        <v>2022</v>
      </c>
      <c r="O24" s="8">
        <v>6070</v>
      </c>
      <c r="S24" s="5">
        <v>2022</v>
      </c>
      <c r="T24" s="8">
        <v>2140</v>
      </c>
      <c r="U24" s="9">
        <v>1</v>
      </c>
      <c r="V24" s="9">
        <v>62</v>
      </c>
      <c r="Y24" s="5">
        <v>2022</v>
      </c>
      <c r="Z24" s="8">
        <v>2151</v>
      </c>
      <c r="AA24" s="9">
        <v>39</v>
      </c>
      <c r="AB24" s="8">
        <v>2746</v>
      </c>
    </row>
    <row r="25" spans="1:28" x14ac:dyDescent="0.3">
      <c r="A25" s="5">
        <v>2023</v>
      </c>
      <c r="B25" s="8">
        <v>206591</v>
      </c>
      <c r="D25" s="2"/>
      <c r="H25" s="5">
        <v>2023</v>
      </c>
      <c r="I25" s="8">
        <v>1934</v>
      </c>
      <c r="J25" s="8">
        <v>284272</v>
      </c>
      <c r="K25" s="8">
        <v>84900</v>
      </c>
      <c r="N25" s="5">
        <v>2023</v>
      </c>
      <c r="O25" s="8">
        <v>23482</v>
      </c>
      <c r="S25" s="5">
        <v>2023</v>
      </c>
      <c r="T25" s="8">
        <v>2243</v>
      </c>
      <c r="U25" s="9">
        <v>1</v>
      </c>
      <c r="V25" s="9">
        <v>127</v>
      </c>
      <c r="Y25" s="5">
        <v>2023</v>
      </c>
      <c r="Z25" s="8">
        <v>3070</v>
      </c>
      <c r="AA25" s="9">
        <v>51</v>
      </c>
      <c r="AB25" s="8">
        <v>3317</v>
      </c>
    </row>
    <row r="26" spans="1:28" x14ac:dyDescent="0.3">
      <c r="A26" s="5">
        <v>2024</v>
      </c>
      <c r="B26" s="8">
        <v>150647</v>
      </c>
      <c r="D26" s="2"/>
      <c r="H26" s="5">
        <v>2024</v>
      </c>
      <c r="I26" s="8">
        <v>1954</v>
      </c>
      <c r="J26" s="8">
        <v>285781</v>
      </c>
      <c r="K26" s="8">
        <v>90457</v>
      </c>
      <c r="N26" s="5">
        <v>2024</v>
      </c>
      <c r="O26" s="8">
        <v>31735</v>
      </c>
      <c r="S26" s="5">
        <v>2024</v>
      </c>
      <c r="T26" s="8">
        <v>2289</v>
      </c>
      <c r="U26" s="9">
        <v>1</v>
      </c>
      <c r="V26" s="9">
        <v>16</v>
      </c>
      <c r="Y26" s="5">
        <v>2024</v>
      </c>
      <c r="Z26" s="8">
        <v>3562</v>
      </c>
      <c r="AA26" s="9">
        <v>26</v>
      </c>
      <c r="AB26" s="8">
        <v>2932</v>
      </c>
    </row>
    <row r="27" spans="1:28" x14ac:dyDescent="0.3">
      <c r="A27" s="5">
        <v>2025</v>
      </c>
      <c r="B27" s="5">
        <f>TREND(B$22:B$26, A$22:A$26, A$27)</f>
        <v>214643.5</v>
      </c>
      <c r="C27" s="2"/>
      <c r="D27" s="2"/>
      <c r="E27" s="2"/>
      <c r="H27" s="5">
        <v>2025</v>
      </c>
      <c r="I27" s="5">
        <f>TREND(I$22:I$26, H$22:H$26, H$27)</f>
        <v>2140.3999999999942</v>
      </c>
      <c r="J27" s="5">
        <f t="shared" ref="J27:K27" si="7">TREND(J$22:J$26, I$22:I$26, I$27)</f>
        <v>305466.92690733145</v>
      </c>
      <c r="K27" s="5">
        <f t="shared" si="7"/>
        <v>98123.449363752472</v>
      </c>
      <c r="N27" s="5">
        <v>2025</v>
      </c>
      <c r="O27" s="5">
        <f>TREND(O$22:O$26, N$22:N$26, N$27)</f>
        <v>32267.300000000745</v>
      </c>
      <c r="S27" s="5">
        <v>2025</v>
      </c>
      <c r="T27" s="5">
        <f>TREND(T$22:T$26, S$22:S$26, S$27)</f>
        <v>2828.4999999998836</v>
      </c>
      <c r="U27" s="5">
        <f t="shared" ref="U27:V27" si="8">TREND(U$22:U$26, T$22:T$26, T$27)</f>
        <v>1.3252523912048229</v>
      </c>
      <c r="V27" s="5">
        <f t="shared" si="8"/>
        <v>68.256558853644748</v>
      </c>
      <c r="Y27" s="5">
        <v>2025</v>
      </c>
      <c r="Z27" s="5">
        <f>TREND(Z$22:Z$26, Y$22:Y$26, Y$27)</f>
        <v>4474.4000000001397</v>
      </c>
      <c r="AA27" s="5">
        <f t="shared" ref="AA27:AB27" si="9">TREND(AA$22:AA$26, Z$22:Z$26, Z$27)</f>
        <v>49.791523818015875</v>
      </c>
      <c r="AB27" s="5">
        <f t="shared" si="9"/>
        <v>3467.0713293664621</v>
      </c>
    </row>
    <row r="28" spans="1:28" x14ac:dyDescent="0.3">
      <c r="A28" s="5">
        <v>2026</v>
      </c>
      <c r="B28" s="5">
        <f>TREND(B$22:B$26, A$22:A$26, A$28)</f>
        <v>241919.79999999702</v>
      </c>
      <c r="C28" s="2"/>
      <c r="D28" s="2"/>
      <c r="E28" s="2"/>
      <c r="H28" s="5">
        <v>2026</v>
      </c>
      <c r="I28" s="5">
        <f>TREND(I$22:I$26, H$22:H$26, H$28)</f>
        <v>2231.3999999999942</v>
      </c>
      <c r="J28" s="5">
        <f t="shared" ref="J28:K28" si="10">TREND(J$22:J$26, I$22:I$26, I$28)</f>
        <v>321741.50254310889</v>
      </c>
      <c r="K28" s="5">
        <f t="shared" si="10"/>
        <v>105686.46581833676</v>
      </c>
      <c r="N28" s="5">
        <v>2026</v>
      </c>
      <c r="O28" s="5">
        <f>TREND(O$22:O$26, N$22:N$26, N$28)</f>
        <v>37806.800000000745</v>
      </c>
      <c r="S28" s="5">
        <v>2026</v>
      </c>
      <c r="T28" s="5">
        <f>TREND(T$22:T$26, S$22:S$26, S$28)</f>
        <v>3173.5999999999767</v>
      </c>
      <c r="U28" s="5">
        <f t="shared" ref="U28:V28" si="11">TREND(U$22:U$26, T$22:T$26, T$28)</f>
        <v>1.5003365216064974</v>
      </c>
      <c r="V28" s="5">
        <f t="shared" si="11"/>
        <v>77.142078471529743</v>
      </c>
      <c r="Y28" s="5">
        <v>2026</v>
      </c>
      <c r="Z28" s="5">
        <f>TREND(Z$22:Z$26, Y$22:Y$26, Y$28)</f>
        <v>5283.1999999999534</v>
      </c>
      <c r="AA28" s="5">
        <f t="shared" ref="AA28:AB28" si="12">TREND(AA$22:AA$26, Z$22:Z$26, Z$28)</f>
        <v>56.788698424019159</v>
      </c>
      <c r="AB28" s="5">
        <f t="shared" si="12"/>
        <v>3892.8951058218272</v>
      </c>
    </row>
    <row r="29" spans="1:28" x14ac:dyDescent="0.3">
      <c r="A29" s="5">
        <v>2027</v>
      </c>
      <c r="B29" s="5">
        <f>TREND(B$22:B$26, A$22:A$26, A$29)</f>
        <v>269196.10000000149</v>
      </c>
      <c r="C29" s="2"/>
      <c r="D29" s="2"/>
      <c r="E29" s="2"/>
      <c r="H29" s="5">
        <v>2027</v>
      </c>
      <c r="I29" s="5">
        <f>TREND(I$22:I$26, H$22:H$26, H$29)</f>
        <v>2322.3999999999942</v>
      </c>
      <c r="J29" s="5">
        <f t="shared" ref="J29:K29" si="13">TREND(J$22:J$26, I$22:I$26, I$29)</f>
        <v>338016.07817888638</v>
      </c>
      <c r="K29" s="5">
        <f t="shared" si="13"/>
        <v>113249.48227292107</v>
      </c>
      <c r="N29" s="5">
        <v>2027</v>
      </c>
      <c r="O29" s="5">
        <f>TREND(O$22:O$26, N$22:N$26, N$29)</f>
        <v>43346.300000000745</v>
      </c>
      <c r="S29" s="5">
        <v>2027</v>
      </c>
      <c r="T29" s="5">
        <f>TREND(T$22:T$26, S$22:S$26, S$29)</f>
        <v>3518.6999999999534</v>
      </c>
      <c r="U29" s="5">
        <f t="shared" ref="U29:V29" si="14">TREND(U$22:U$26, T$22:T$26, T$29)</f>
        <v>1.675420652008113</v>
      </c>
      <c r="V29" s="5">
        <f t="shared" si="14"/>
        <v>86.027598089411725</v>
      </c>
      <c r="Y29" s="5">
        <v>2027</v>
      </c>
      <c r="Z29" s="5">
        <f>TREND(Z$22:Z$26, Y$22:Y$26, Y$29)</f>
        <v>6092</v>
      </c>
      <c r="AA29" s="5">
        <f t="shared" ref="AA29:AB29" si="15">TREND(AA$22:AA$26, Z$22:Z$26, Z$29)</f>
        <v>63.785873030024447</v>
      </c>
      <c r="AB29" s="5">
        <f t="shared" si="15"/>
        <v>4318.7188822773142</v>
      </c>
    </row>
    <row r="30" spans="1:28" x14ac:dyDescent="0.3">
      <c r="A30" s="5">
        <v>2028</v>
      </c>
      <c r="B30" s="5">
        <f>TREND(B$22:B$26, A$22:A$26, A$30)</f>
        <v>296472.39999999851</v>
      </c>
      <c r="C30" s="2"/>
      <c r="D30" s="2"/>
      <c r="E30" s="2"/>
      <c r="H30" s="5">
        <v>2028</v>
      </c>
      <c r="I30" s="5">
        <f>TREND(I$22:I$26, H$22:H$26, H$30)</f>
        <v>2413.3999999999942</v>
      </c>
      <c r="J30" s="5">
        <f t="shared" ref="J30:K30" si="16">TREND(J$22:J$26, I$22:I$26, I$30)</f>
        <v>354290.65381466388</v>
      </c>
      <c r="K30" s="5">
        <f t="shared" si="16"/>
        <v>120812.49872750539</v>
      </c>
      <c r="N30" s="5">
        <v>2028</v>
      </c>
      <c r="O30" s="5">
        <f>TREND(O$22:O$26, N$22:N$26, N$30)</f>
        <v>48885.800000000745</v>
      </c>
      <c r="S30" s="5">
        <v>2028</v>
      </c>
      <c r="T30" s="5">
        <f>TREND(T$22:T$26, S$22:S$26, S$30)</f>
        <v>3863.7999999999302</v>
      </c>
      <c r="U30" s="5">
        <f t="shared" ref="U30:V30" si="17">TREND(U$22:U$26, T$22:T$26, T$30)</f>
        <v>1.8505047824097285</v>
      </c>
      <c r="V30" s="5">
        <f t="shared" si="17"/>
        <v>94.913117707293708</v>
      </c>
      <c r="Y30" s="5">
        <v>2028</v>
      </c>
      <c r="Z30" s="5">
        <f>TREND(Z$22:Z$26, Y$22:Y$26, Y$30)</f>
        <v>6900.8000000000466</v>
      </c>
      <c r="AA30" s="5">
        <f t="shared" ref="AA30:AB30" si="18">TREND(AA$22:AA$26, Z$22:Z$26, Z$30)</f>
        <v>70.78304763602975</v>
      </c>
      <c r="AB30" s="5">
        <f t="shared" si="18"/>
        <v>4744.542658732802</v>
      </c>
    </row>
    <row r="31" spans="1:28" x14ac:dyDescent="0.3">
      <c r="A31" s="5">
        <v>2029</v>
      </c>
      <c r="B31" s="5">
        <f>TREND(B$22:B$26, A$22:A$26, A$31)</f>
        <v>323748.69999999553</v>
      </c>
      <c r="C31" s="2"/>
      <c r="D31" s="2"/>
      <c r="E31" s="2"/>
      <c r="H31" s="5">
        <v>2029</v>
      </c>
      <c r="I31" s="5">
        <f>TREND(I$22:I$26, H$22:H$26, H$31)</f>
        <v>2504.3999999999942</v>
      </c>
      <c r="J31" s="5">
        <f t="shared" ref="J31:K31" si="19">TREND(J$22:J$26, I$22:I$26, I$31)</f>
        <v>370565.22945044137</v>
      </c>
      <c r="K31" s="5">
        <f t="shared" si="19"/>
        <v>128375.51518208973</v>
      </c>
      <c r="N31" s="5">
        <v>2029</v>
      </c>
      <c r="O31" s="5">
        <f>TREND(O$22:O$26, N$22:N$26, N$31)</f>
        <v>54425.300000000745</v>
      </c>
      <c r="S31" s="5">
        <v>2029</v>
      </c>
      <c r="T31" s="5">
        <f>TREND(T$22:T$26, S$22:S$26, S$31)</f>
        <v>4208.8999999999069</v>
      </c>
      <c r="U31" s="5">
        <f t="shared" ref="U31:V31" si="20">TREND(U$22:U$26, T$22:T$26, T$31)</f>
        <v>2.0255889128113438</v>
      </c>
      <c r="V31" s="5">
        <f t="shared" si="20"/>
        <v>103.79863732517569</v>
      </c>
      <c r="Y31" s="5">
        <v>2029</v>
      </c>
      <c r="Z31" s="5">
        <f>TREND(Z$22:Z$26, Y$22:Y$26, Y$31)</f>
        <v>7709.6000000000931</v>
      </c>
      <c r="AA31" s="5">
        <f t="shared" ref="AA31:AB31" si="21">TREND(AA$22:AA$26, Z$22:Z$26, Z$31)</f>
        <v>77.780222242035038</v>
      </c>
      <c r="AB31" s="5">
        <f t="shared" si="21"/>
        <v>5170.366435188289</v>
      </c>
    </row>
    <row r="32" spans="1:28" x14ac:dyDescent="0.3">
      <c r="A32" s="5">
        <v>2030</v>
      </c>
      <c r="B32" s="5">
        <f>TREND(B$22:B$26, A$22:A$26, A$32)</f>
        <v>351025</v>
      </c>
      <c r="H32" s="5">
        <v>2030</v>
      </c>
      <c r="I32" s="5">
        <f>TREND(I$22:I$26, H$22:H$26, H$32)</f>
        <v>2595.3999999999942</v>
      </c>
      <c r="J32" s="5">
        <f t="shared" ref="J32:K32" si="22">TREND(J$22:J$26, I$22:I$26, I$32)</f>
        <v>386839.80508621887</v>
      </c>
      <c r="K32" s="5">
        <f t="shared" si="22"/>
        <v>135938.53163667404</v>
      </c>
      <c r="N32" s="5">
        <v>2030</v>
      </c>
      <c r="O32" s="5">
        <f>TREND(O$22:O$26, N$22:N$26, N$32)</f>
        <v>59964.800000000745</v>
      </c>
      <c r="S32" s="5">
        <v>2030</v>
      </c>
      <c r="T32" s="5">
        <f>TREND(T$22:T$26, S$22:S$26, S$32)</f>
        <v>4553.9999999998836</v>
      </c>
      <c r="U32" s="5">
        <f t="shared" ref="U32:V32" si="23">TREND(U$22:U$26, T$22:T$26, T$32)</f>
        <v>2.2006730432129595</v>
      </c>
      <c r="V32" s="5">
        <f t="shared" si="23"/>
        <v>112.6841569430577</v>
      </c>
      <c r="Y32" s="5">
        <v>2030</v>
      </c>
      <c r="Z32" s="5">
        <f>TREND(Z$22:Z$26, Y$22:Y$26, Y$32)</f>
        <v>8518.4000000001397</v>
      </c>
      <c r="AA32" s="5">
        <f t="shared" ref="AA32:AB32" si="24">TREND(AA$22:AA$26, Z$22:Z$26, Z$32)</f>
        <v>84.77739684804034</v>
      </c>
      <c r="AB32" s="5">
        <f t="shared" si="24"/>
        <v>5596.1902116437777</v>
      </c>
    </row>
    <row r="33" spans="1:28" x14ac:dyDescent="0.3">
      <c r="A33" s="5">
        <v>2031</v>
      </c>
      <c r="B33" s="5">
        <f>TREND(B$22:B$26, A$22:A$26, A$33)</f>
        <v>378301.29999999702</v>
      </c>
      <c r="H33" s="5">
        <v>2031</v>
      </c>
      <c r="I33" s="5">
        <f>TREND(I$22:I$26, H$22:H$26, H$33)</f>
        <v>2686.3999999999942</v>
      </c>
      <c r="J33" s="5">
        <f t="shared" ref="J33:K33" si="25">TREND(J$22:J$26, I$22:I$26, I$33)</f>
        <v>403114.38072199636</v>
      </c>
      <c r="K33" s="5">
        <f t="shared" si="25"/>
        <v>143501.54809125836</v>
      </c>
      <c r="N33" s="5">
        <v>2031</v>
      </c>
      <c r="O33" s="5">
        <f>TREND(O$22:O$26, N$22:N$26, N$33)</f>
        <v>65504.300000000745</v>
      </c>
      <c r="S33" s="5">
        <v>2031</v>
      </c>
      <c r="T33" s="5">
        <f>TREND(T$22:T$26, S$22:S$26, S$33)</f>
        <v>4899.0999999999767</v>
      </c>
      <c r="U33" s="5">
        <f t="shared" ref="U33:V33" si="26">TREND(U$22:U$26, T$22:T$26, T$33)</f>
        <v>2.3757571736146339</v>
      </c>
      <c r="V33" s="5">
        <f t="shared" si="26"/>
        <v>121.56967656094267</v>
      </c>
      <c r="Y33" s="5">
        <v>2031</v>
      </c>
      <c r="Z33" s="5">
        <f>TREND(Z$22:Z$26, Y$22:Y$26, Y$33)</f>
        <v>9327.1999999999534</v>
      </c>
      <c r="AA33" s="5">
        <f t="shared" ref="AA33:AB33" si="27">TREND(AA$22:AA$26, Z$22:Z$26, Z$33)</f>
        <v>91.774571454043624</v>
      </c>
      <c r="AB33" s="5">
        <f t="shared" si="27"/>
        <v>6022.0139880991428</v>
      </c>
    </row>
    <row r="34" spans="1:28" x14ac:dyDescent="0.3">
      <c r="A34" s="5">
        <v>2032</v>
      </c>
      <c r="B34" s="5">
        <f>TREND(B$22:B$26, A$22:A$26, A$34)</f>
        <v>405577.60000000149</v>
      </c>
      <c r="H34" s="5">
        <v>2032</v>
      </c>
      <c r="I34" s="5">
        <f>TREND(I$22:I$26, H$22:H$26, H$34)</f>
        <v>2777.3999999999942</v>
      </c>
      <c r="J34" s="5">
        <f t="shared" ref="J34:K34" si="28">TREND(J$22:J$26, I$22:I$26, I$34)</f>
        <v>419388.9563577738</v>
      </c>
      <c r="K34" s="5">
        <f t="shared" si="28"/>
        <v>151064.56454584264</v>
      </c>
      <c r="N34" s="5">
        <v>2032</v>
      </c>
      <c r="O34" s="5">
        <f>TREND(O$22:O$26, N$22:N$26, N$34)</f>
        <v>71043.800000000745</v>
      </c>
      <c r="S34" s="5">
        <v>2032</v>
      </c>
      <c r="T34" s="5">
        <f>TREND(T$22:T$26, S$22:S$26, S$34)</f>
        <v>5244.1999999999534</v>
      </c>
      <c r="U34" s="5">
        <f t="shared" ref="U34:V34" si="29">TREND(U$22:U$26, T$22:T$26, T$34)</f>
        <v>2.5508413040162496</v>
      </c>
      <c r="V34" s="5">
        <f t="shared" si="29"/>
        <v>130.45519617882465</v>
      </c>
      <c r="Y34" s="5">
        <v>2032</v>
      </c>
      <c r="Z34" s="5">
        <f>TREND(Z$22:Z$26, Y$22:Y$26, Y$34)</f>
        <v>10136</v>
      </c>
      <c r="AA34" s="5">
        <f t="shared" ref="AA34:AB34" si="30">TREND(AA$22:AA$26, Z$22:Z$26, Z$34)</f>
        <v>98.771746060048912</v>
      </c>
      <c r="AB34" s="5">
        <f t="shared" si="30"/>
        <v>6447.8377645546298</v>
      </c>
    </row>
  </sheetData>
  <mergeCells count="7">
    <mergeCell ref="Y20:AB20"/>
    <mergeCell ref="A4:D4"/>
    <mergeCell ref="A2:L2"/>
    <mergeCell ref="A20:B20"/>
    <mergeCell ref="H20:K20"/>
    <mergeCell ref="N20:O20"/>
    <mergeCell ref="S20:V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General Dynamics Information Technology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Brown, Maryn E</dc:creator>
  <cp:keywords/>
  <dc:description/>
  <cp:lastModifiedBy>Brown, Maryn E</cp:lastModifiedBy>
  <cp:revision/>
  <dcterms:created xsi:type="dcterms:W3CDTF">2026-07-28T13:43:52Z</dcterms:created>
  <dcterms:modified xsi:type="dcterms:W3CDTF">2026-08-04T20:57:23Z</dcterms:modified>
  <cp:category/>
  <cp:contentStatus/>
</cp:coreProperties>
</file>